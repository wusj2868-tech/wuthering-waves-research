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ewu/Desktop/"/>
    </mc:Choice>
  </mc:AlternateContent>
  <xr:revisionPtr revIDLastSave="0" documentId="8_{B033A823-A791-2F43-B54E-254F895B7D1B}" xr6:coauthVersionLast="47" xr6:coauthVersionMax="47" xr10:uidLastSave="{00000000-0000-0000-0000-000000000000}"/>
  <bookViews>
    <workbookView xWindow="-3140" yWindow="-21000" windowWidth="38400" windowHeight="21000" activeTab="1" xr2:uid="{77FAC8DD-A510-CD43-9953-C93EBC58ED08}"/>
  </bookViews>
  <sheets>
    <sheet name="年度数据" sheetId="2" r:id="rId1"/>
    <sheet name="月度数据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C5" i="1"/>
</calcChain>
</file>

<file path=xl/sharedStrings.xml><?xml version="1.0" encoding="utf-8"?>
<sst xmlns="http://schemas.openxmlformats.org/spreadsheetml/2006/main" count="53" uniqueCount="16">
  <si>
    <t>原神</t>
    <phoneticPr fontId="1" type="noConversion"/>
  </si>
  <si>
    <t>崩铁</t>
    <phoneticPr fontId="1" type="noConversion"/>
  </si>
  <si>
    <t>鸣潮</t>
    <phoneticPr fontId="1" type="noConversion"/>
  </si>
  <si>
    <t>绝区零</t>
    <phoneticPr fontId="1" type="noConversion"/>
  </si>
  <si>
    <t>明日方舟</t>
    <phoneticPr fontId="1" type="noConversion"/>
  </si>
  <si>
    <t>终末地</t>
    <phoneticPr fontId="1" type="noConversion"/>
  </si>
  <si>
    <t>异环</t>
    <phoneticPr fontId="1" type="noConversion"/>
  </si>
  <si>
    <t>国内</t>
    <phoneticPr fontId="1" type="noConversion"/>
  </si>
  <si>
    <t>海外</t>
    <phoneticPr fontId="1" type="noConversion"/>
  </si>
  <si>
    <t>人民币</t>
    <phoneticPr fontId="1" type="noConversion"/>
  </si>
  <si>
    <t>2026E</t>
    <phoneticPr fontId="1" type="noConversion"/>
  </si>
  <si>
    <t>2027E</t>
    <phoneticPr fontId="1" type="noConversion"/>
  </si>
  <si>
    <t>首12个月 50-70亿</t>
    <phoneticPr fontId="1" type="noConversion"/>
  </si>
  <si>
    <t>首12个月 50亿+</t>
    <phoneticPr fontId="1" type="noConversion"/>
  </si>
  <si>
    <t>合计</t>
    <phoneticPr fontId="1" type="noConversion"/>
  </si>
  <si>
    <t>人民币（万元）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</si>
</sst>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.00_ ;_ * \-#,##0.00_ ;_ * &quot;-&quot;??_ ;_ @_ "/>
    <numFmt numFmtId="177" formatCode="#,##0_ "/>
    <numFmt numFmtId="178" formatCode="0_);[Red]\(0\)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0"/>
      <color rgb="FF000000"/>
      <name val="Microsoft YaHei"/>
      <family val="2"/>
      <charset val="134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3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4" fillId="0" borderId="0" xfId="1" applyNumberFormat="1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  <xf numFmtId="3" fontId="3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0" fillId="0" borderId="0" xfId="0" applyFill="1" applyBorder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B63D-06F8-0540-9E9E-561B0E7B6695}">
  <dimension ref="A1:I16"/>
  <sheetViews>
    <sheetView showGridLines="0" workbookViewId="0">
      <selection activeCell="M12" sqref="M12"/>
    </sheetView>
  </sheetViews>
  <sheetFormatPr baseColWidth="10" defaultColWidth="11" defaultRowHeight="16"/>
  <cols>
    <col min="8" max="8" width="30.5" customWidth="1"/>
  </cols>
  <sheetData>
    <row r="1" spans="1:9">
      <c r="A1" t="s">
        <v>9</v>
      </c>
    </row>
    <row r="2" spans="1:9">
      <c r="A2" s="1"/>
      <c r="B2" s="1"/>
      <c r="C2" s="3">
        <v>2021</v>
      </c>
      <c r="D2" s="3">
        <v>2022</v>
      </c>
      <c r="E2" s="3">
        <v>2023</v>
      </c>
      <c r="F2" s="3">
        <v>2024</v>
      </c>
      <c r="G2" s="3">
        <v>2025</v>
      </c>
      <c r="H2" s="3" t="s">
        <v>10</v>
      </c>
      <c r="I2" s="3" t="s">
        <v>11</v>
      </c>
    </row>
    <row r="3" spans="1:9">
      <c r="A3" t="s">
        <v>0</v>
      </c>
      <c r="B3" t="s">
        <v>7</v>
      </c>
      <c r="D3">
        <v>210</v>
      </c>
      <c r="E3">
        <v>150</v>
      </c>
      <c r="F3">
        <v>90</v>
      </c>
      <c r="G3">
        <v>85</v>
      </c>
    </row>
    <row r="4" spans="1:9">
      <c r="B4" s="1" t="s">
        <v>8</v>
      </c>
      <c r="C4" s="1"/>
      <c r="D4" s="1">
        <v>180</v>
      </c>
      <c r="E4" s="1">
        <v>130</v>
      </c>
      <c r="F4" s="1">
        <v>80</v>
      </c>
      <c r="G4" s="1">
        <v>70</v>
      </c>
      <c r="H4" s="1"/>
      <c r="I4" s="1"/>
    </row>
    <row r="5" spans="1:9">
      <c r="A5" t="s">
        <v>1</v>
      </c>
      <c r="B5" t="s">
        <v>7</v>
      </c>
      <c r="E5">
        <v>90</v>
      </c>
      <c r="F5">
        <v>70</v>
      </c>
      <c r="G5">
        <v>65</v>
      </c>
    </row>
    <row r="6" spans="1:9">
      <c r="B6" s="1" t="s">
        <v>8</v>
      </c>
      <c r="C6" s="1"/>
      <c r="D6" s="1"/>
      <c r="E6" s="1">
        <v>80</v>
      </c>
      <c r="F6" s="1">
        <v>65</v>
      </c>
      <c r="G6" s="1">
        <v>60</v>
      </c>
      <c r="H6" s="1"/>
      <c r="I6" s="1"/>
    </row>
    <row r="7" spans="1:9">
      <c r="A7" t="s">
        <v>3</v>
      </c>
      <c r="B7" t="s">
        <v>7</v>
      </c>
      <c r="F7">
        <v>25</v>
      </c>
      <c r="G7">
        <v>25</v>
      </c>
    </row>
    <row r="8" spans="1:9">
      <c r="B8" s="1" t="s">
        <v>8</v>
      </c>
      <c r="C8" s="1"/>
      <c r="D8" s="1"/>
      <c r="E8" s="1"/>
      <c r="F8" s="1">
        <v>20</v>
      </c>
      <c r="G8" s="1">
        <v>25</v>
      </c>
      <c r="H8" s="1"/>
      <c r="I8" s="1"/>
    </row>
    <row r="9" spans="1:9">
      <c r="A9" s="4" t="s">
        <v>2</v>
      </c>
      <c r="B9" s="4" t="s">
        <v>7</v>
      </c>
      <c r="C9" s="4"/>
      <c r="D9" s="4"/>
      <c r="E9" s="4"/>
      <c r="F9" s="4"/>
      <c r="G9" s="4"/>
      <c r="H9" s="4"/>
      <c r="I9" s="4"/>
    </row>
    <row r="10" spans="1:9">
      <c r="A10" s="4"/>
      <c r="B10" s="5" t="s">
        <v>8</v>
      </c>
      <c r="C10" s="5"/>
      <c r="D10" s="5"/>
      <c r="E10" s="5"/>
      <c r="F10" s="5"/>
      <c r="G10" s="5"/>
      <c r="H10" s="5"/>
      <c r="I10" s="5"/>
    </row>
    <row r="11" spans="1:9">
      <c r="A11" t="s">
        <v>4</v>
      </c>
      <c r="B11" t="s">
        <v>7</v>
      </c>
      <c r="C11">
        <v>18</v>
      </c>
      <c r="D11">
        <v>17</v>
      </c>
      <c r="E11">
        <v>17</v>
      </c>
      <c r="F11">
        <v>13</v>
      </c>
      <c r="G11">
        <v>14</v>
      </c>
    </row>
    <row r="12" spans="1:9">
      <c r="B12" s="1" t="s">
        <v>8</v>
      </c>
      <c r="C12" s="1"/>
      <c r="D12" s="1"/>
      <c r="E12" s="1"/>
      <c r="F12" s="1"/>
      <c r="G12" s="1"/>
      <c r="H12" s="1"/>
      <c r="I12" s="1"/>
    </row>
    <row r="13" spans="1:9">
      <c r="A13" t="s">
        <v>5</v>
      </c>
      <c r="B13" t="s">
        <v>7</v>
      </c>
      <c r="H13" s="9" t="s">
        <v>13</v>
      </c>
    </row>
    <row r="14" spans="1:9">
      <c r="B14" s="1" t="s">
        <v>8</v>
      </c>
      <c r="C14" s="1"/>
      <c r="D14" s="1"/>
      <c r="E14" s="1"/>
      <c r="F14" s="1"/>
      <c r="G14" s="1"/>
      <c r="H14" s="10"/>
      <c r="I14" s="1"/>
    </row>
    <row r="15" spans="1:9">
      <c r="A15" t="s">
        <v>6</v>
      </c>
      <c r="B15" t="s">
        <v>7</v>
      </c>
      <c r="H15" s="9" t="s">
        <v>12</v>
      </c>
    </row>
    <row r="16" spans="1:9">
      <c r="A16" s="1"/>
      <c r="B16" s="1" t="s">
        <v>8</v>
      </c>
      <c r="C16" s="1"/>
      <c r="D16" s="1"/>
      <c r="E16" s="1"/>
      <c r="F16" s="1"/>
      <c r="G16" s="1"/>
      <c r="H16" s="10"/>
      <c r="I16" s="1"/>
    </row>
  </sheetData>
  <mergeCells count="2">
    <mergeCell ref="H15:H16"/>
    <mergeCell ref="H13:H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896D-EAB5-C24D-8B84-F2C8602CEF89}">
  <dimension ref="A1:U21"/>
  <sheetViews>
    <sheetView showGridLines="0" tabSelected="1" workbookViewId="0">
      <selection activeCell="H27" sqref="H27"/>
    </sheetView>
  </sheetViews>
  <sheetFormatPr baseColWidth="10" defaultColWidth="10.83203125" defaultRowHeight="16"/>
  <cols>
    <col min="1" max="18" width="11" customWidth="1"/>
  </cols>
  <sheetData>
    <row r="1" spans="1:21">
      <c r="A1" t="s">
        <v>15</v>
      </c>
    </row>
    <row r="2" spans="1:21">
      <c r="A2" s="1"/>
      <c r="B2" s="1"/>
      <c r="C2" s="2">
        <v>45658</v>
      </c>
      <c r="D2" s="2">
        <v>45689</v>
      </c>
      <c r="E2" s="2">
        <v>45717</v>
      </c>
      <c r="F2" s="2">
        <v>45748</v>
      </c>
      <c r="G2" s="2">
        <v>45778</v>
      </c>
      <c r="H2" s="2">
        <v>45809</v>
      </c>
      <c r="I2" s="2">
        <v>45839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2">
        <v>46023</v>
      </c>
      <c r="P2" s="2">
        <v>46054</v>
      </c>
      <c r="Q2" s="2">
        <v>46082</v>
      </c>
      <c r="R2" s="2">
        <v>46113</v>
      </c>
      <c r="S2" s="2">
        <v>46143</v>
      </c>
      <c r="T2" s="2">
        <v>46174</v>
      </c>
      <c r="U2" s="2">
        <v>46204</v>
      </c>
    </row>
    <row r="3" spans="1:21">
      <c r="A3" t="s">
        <v>0</v>
      </c>
      <c r="B3" t="s">
        <v>7</v>
      </c>
      <c r="C3" s="6">
        <v>100800</v>
      </c>
      <c r="D3" s="7">
        <v>66600</v>
      </c>
      <c r="E3" s="7">
        <v>66600</v>
      </c>
      <c r="F3" s="7">
        <v>33300</v>
      </c>
      <c r="G3" s="7">
        <v>66600</v>
      </c>
      <c r="H3" s="7">
        <v>99900</v>
      </c>
      <c r="I3" s="7">
        <v>66600</v>
      </c>
      <c r="J3" s="7">
        <v>56700</v>
      </c>
      <c r="K3" s="7">
        <v>73800</v>
      </c>
      <c r="L3" s="7">
        <v>90576</v>
      </c>
      <c r="M3" s="7">
        <v>41400</v>
      </c>
      <c r="N3" s="7">
        <v>82800</v>
      </c>
      <c r="O3" s="7">
        <v>100800</v>
      </c>
      <c r="P3" s="7">
        <v>93600</v>
      </c>
      <c r="Q3" s="7">
        <v>66600</v>
      </c>
      <c r="R3" s="7">
        <v>79200</v>
      </c>
      <c r="T3" s="7"/>
      <c r="U3" s="7"/>
    </row>
    <row r="4" spans="1:21">
      <c r="B4" s="11" t="s">
        <v>8</v>
      </c>
      <c r="C4" s="13">
        <v>86281</v>
      </c>
      <c r="D4" s="14">
        <v>57007</v>
      </c>
      <c r="E4" s="14">
        <v>57007</v>
      </c>
      <c r="F4" s="14">
        <v>28504</v>
      </c>
      <c r="G4" s="14">
        <v>57007</v>
      </c>
      <c r="H4" s="14">
        <v>85511</v>
      </c>
      <c r="I4" s="14">
        <v>57007</v>
      </c>
      <c r="J4" s="14">
        <v>48533</v>
      </c>
      <c r="K4" s="14">
        <v>63170</v>
      </c>
      <c r="L4" s="14">
        <v>77530</v>
      </c>
      <c r="M4" s="14">
        <v>35437</v>
      </c>
      <c r="N4" s="14">
        <v>70874</v>
      </c>
      <c r="O4" s="14">
        <v>86281</v>
      </c>
      <c r="P4" s="14">
        <v>80119</v>
      </c>
      <c r="Q4" s="14">
        <v>57007</v>
      </c>
      <c r="R4" s="14">
        <v>67793</v>
      </c>
      <c r="S4" s="11"/>
      <c r="T4" s="7"/>
      <c r="U4" s="7"/>
    </row>
    <row r="5" spans="1:21">
      <c r="B5" s="1" t="s">
        <v>14</v>
      </c>
      <c r="C5" s="15">
        <f>C4+C3</f>
        <v>187081</v>
      </c>
      <c r="D5" s="15">
        <f t="shared" ref="D5:R5" si="0">D4+D3</f>
        <v>123607</v>
      </c>
      <c r="E5" s="15">
        <f t="shared" si="0"/>
        <v>123607</v>
      </c>
      <c r="F5" s="15">
        <f t="shared" si="0"/>
        <v>61804</v>
      </c>
      <c r="G5" s="15">
        <f t="shared" si="0"/>
        <v>123607</v>
      </c>
      <c r="H5" s="15">
        <f t="shared" si="0"/>
        <v>185411</v>
      </c>
      <c r="I5" s="15">
        <f t="shared" si="0"/>
        <v>123607</v>
      </c>
      <c r="J5" s="15">
        <f t="shared" si="0"/>
        <v>105233</v>
      </c>
      <c r="K5" s="15">
        <f t="shared" si="0"/>
        <v>136970</v>
      </c>
      <c r="L5" s="15">
        <f t="shared" si="0"/>
        <v>168106</v>
      </c>
      <c r="M5" s="15">
        <f t="shared" si="0"/>
        <v>76837</v>
      </c>
      <c r="N5" s="15">
        <f t="shared" si="0"/>
        <v>153674</v>
      </c>
      <c r="O5" s="15">
        <f t="shared" si="0"/>
        <v>187081</v>
      </c>
      <c r="P5" s="15">
        <f t="shared" si="0"/>
        <v>173719</v>
      </c>
      <c r="Q5" s="15">
        <f t="shared" si="0"/>
        <v>123607</v>
      </c>
      <c r="R5" s="15">
        <f t="shared" si="0"/>
        <v>146993</v>
      </c>
      <c r="S5" s="7">
        <v>135000</v>
      </c>
      <c r="T5" s="7">
        <v>108000</v>
      </c>
      <c r="U5" s="7">
        <v>150000</v>
      </c>
    </row>
    <row r="6" spans="1:21">
      <c r="A6" t="s">
        <v>1</v>
      </c>
      <c r="B6" t="s">
        <v>7</v>
      </c>
      <c r="C6" s="6">
        <v>49636</v>
      </c>
      <c r="D6" s="7">
        <v>57273</v>
      </c>
      <c r="E6" s="7">
        <v>45818</v>
      </c>
      <c r="F6" s="7">
        <v>76364</v>
      </c>
      <c r="G6" s="7">
        <v>57273</v>
      </c>
      <c r="H6" s="7">
        <v>21000</v>
      </c>
      <c r="I6" s="7">
        <v>76364</v>
      </c>
      <c r="J6" s="7">
        <v>45818</v>
      </c>
      <c r="K6" s="7">
        <v>53455</v>
      </c>
      <c r="L6" s="7">
        <v>45818</v>
      </c>
      <c r="M6" s="7">
        <v>91636</v>
      </c>
      <c r="N6" s="7">
        <v>30545</v>
      </c>
      <c r="O6" s="7">
        <v>11455</v>
      </c>
      <c r="P6" s="7">
        <v>30545</v>
      </c>
      <c r="Q6" s="7">
        <v>49636</v>
      </c>
      <c r="R6" s="7">
        <v>76364</v>
      </c>
      <c r="T6" s="7"/>
      <c r="U6" s="7"/>
    </row>
    <row r="7" spans="1:21">
      <c r="B7" s="1" t="s">
        <v>8</v>
      </c>
      <c r="C7" s="6">
        <v>44275</v>
      </c>
      <c r="D7" s="7">
        <v>51087</v>
      </c>
      <c r="E7" s="7">
        <v>40870</v>
      </c>
      <c r="F7" s="7">
        <v>68116</v>
      </c>
      <c r="G7" s="7">
        <v>51087</v>
      </c>
      <c r="H7" s="7">
        <v>18732</v>
      </c>
      <c r="I7" s="7">
        <v>68116</v>
      </c>
      <c r="J7" s="7">
        <v>40870</v>
      </c>
      <c r="K7" s="7">
        <v>47681</v>
      </c>
      <c r="L7" s="7">
        <v>40870</v>
      </c>
      <c r="M7" s="7">
        <v>81739</v>
      </c>
      <c r="N7" s="7">
        <v>27246</v>
      </c>
      <c r="O7" s="7">
        <v>10217</v>
      </c>
      <c r="P7" s="7">
        <v>27246</v>
      </c>
      <c r="Q7" s="7">
        <v>44275</v>
      </c>
      <c r="R7" s="7">
        <v>68116</v>
      </c>
      <c r="T7" s="7"/>
      <c r="U7" s="7"/>
    </row>
    <row r="8" spans="1:21">
      <c r="B8" s="16" t="s">
        <v>14</v>
      </c>
      <c r="C8" s="6">
        <f>C7+C6</f>
        <v>93911</v>
      </c>
      <c r="D8" s="6">
        <f t="shared" ref="D8" si="1">D7+D6</f>
        <v>108360</v>
      </c>
      <c r="E8" s="6">
        <f t="shared" ref="E8" si="2">E7+E6</f>
        <v>86688</v>
      </c>
      <c r="F8" s="6">
        <f t="shared" ref="F8" si="3">F7+F6</f>
        <v>144480</v>
      </c>
      <c r="G8" s="6">
        <f t="shared" ref="G8" si="4">G7+G6</f>
        <v>108360</v>
      </c>
      <c r="H8" s="6">
        <f t="shared" ref="H8" si="5">H7+H6</f>
        <v>39732</v>
      </c>
      <c r="I8" s="6">
        <f t="shared" ref="I8" si="6">I7+I6</f>
        <v>144480</v>
      </c>
      <c r="J8" s="6">
        <f t="shared" ref="J8" si="7">J7+J6</f>
        <v>86688</v>
      </c>
      <c r="K8" s="6">
        <f t="shared" ref="K8" si="8">K7+K6</f>
        <v>101136</v>
      </c>
      <c r="L8" s="6">
        <f t="shared" ref="L8" si="9">L7+L6</f>
        <v>86688</v>
      </c>
      <c r="M8" s="6">
        <f t="shared" ref="M8" si="10">M7+M6</f>
        <v>173375</v>
      </c>
      <c r="N8" s="6">
        <f t="shared" ref="N8" si="11">N7+N6</f>
        <v>57791</v>
      </c>
      <c r="O8" s="6">
        <f t="shared" ref="O8" si="12">O7+O6</f>
        <v>21672</v>
      </c>
      <c r="P8" s="6">
        <f t="shared" ref="P8" si="13">P7+P6</f>
        <v>57791</v>
      </c>
      <c r="Q8" s="6">
        <f t="shared" ref="Q8" si="14">Q7+Q6</f>
        <v>93911</v>
      </c>
      <c r="R8" s="6">
        <f t="shared" ref="R8" si="15">R7+R6</f>
        <v>144480</v>
      </c>
      <c r="S8" s="7">
        <v>72000</v>
      </c>
      <c r="T8" s="7">
        <v>72000</v>
      </c>
      <c r="U8" s="7">
        <v>100000</v>
      </c>
    </row>
    <row r="9" spans="1:21">
      <c r="A9" t="s">
        <v>3</v>
      </c>
      <c r="B9" t="s">
        <v>7</v>
      </c>
      <c r="C9" s="6">
        <v>20000</v>
      </c>
      <c r="D9" s="7">
        <v>20000</v>
      </c>
      <c r="E9" s="7">
        <v>18000</v>
      </c>
      <c r="F9" s="7">
        <v>20000</v>
      </c>
      <c r="G9" s="7">
        <v>16000</v>
      </c>
      <c r="H9" s="7">
        <v>40000</v>
      </c>
      <c r="I9" s="7">
        <v>24000</v>
      </c>
      <c r="J9" s="7">
        <v>18000</v>
      </c>
      <c r="K9" s="7">
        <v>12800</v>
      </c>
      <c r="L9" s="7">
        <v>14000</v>
      </c>
      <c r="M9" s="7">
        <v>10000</v>
      </c>
      <c r="N9" s="7">
        <v>48000</v>
      </c>
      <c r="O9" s="7">
        <v>12000</v>
      </c>
      <c r="P9" s="7">
        <v>10000</v>
      </c>
      <c r="Q9" s="7">
        <v>13200</v>
      </c>
      <c r="R9" s="7">
        <v>4800</v>
      </c>
      <c r="T9" s="7"/>
      <c r="U9" s="7"/>
    </row>
    <row r="10" spans="1:21">
      <c r="B10" s="1" t="s">
        <v>8</v>
      </c>
      <c r="C10" s="6">
        <v>22000</v>
      </c>
      <c r="D10" s="7">
        <v>19000</v>
      </c>
      <c r="E10" s="7">
        <v>18000</v>
      </c>
      <c r="F10" s="7">
        <v>19000</v>
      </c>
      <c r="G10" s="7">
        <v>15840</v>
      </c>
      <c r="H10" s="7">
        <v>39600</v>
      </c>
      <c r="I10" s="7">
        <v>23760</v>
      </c>
      <c r="J10" s="7">
        <v>17820</v>
      </c>
      <c r="K10" s="7">
        <v>12672</v>
      </c>
      <c r="L10" s="7">
        <v>13860</v>
      </c>
      <c r="M10" s="7">
        <v>9900</v>
      </c>
      <c r="N10" s="7">
        <v>47520</v>
      </c>
      <c r="O10" s="7">
        <v>11880</v>
      </c>
      <c r="P10" s="7">
        <v>9900</v>
      </c>
      <c r="Q10" s="7">
        <v>13068</v>
      </c>
      <c r="R10" s="7">
        <v>4752</v>
      </c>
      <c r="T10" s="7"/>
      <c r="U10" s="7"/>
    </row>
    <row r="11" spans="1:21">
      <c r="B11" s="16" t="s">
        <v>14</v>
      </c>
      <c r="C11" s="6">
        <f>C10+C9</f>
        <v>42000</v>
      </c>
      <c r="D11" s="6">
        <f t="shared" ref="D11" si="16">D10+D9</f>
        <v>39000</v>
      </c>
      <c r="E11" s="6">
        <f t="shared" ref="E11" si="17">E10+E9</f>
        <v>36000</v>
      </c>
      <c r="F11" s="6">
        <f t="shared" ref="F11" si="18">F10+F9</f>
        <v>39000</v>
      </c>
      <c r="G11" s="6">
        <f t="shared" ref="G11" si="19">G10+G9</f>
        <v>31840</v>
      </c>
      <c r="H11" s="6">
        <f t="shared" ref="H11" si="20">H10+H9</f>
        <v>79600</v>
      </c>
      <c r="I11" s="6">
        <f t="shared" ref="I11" si="21">I10+I9</f>
        <v>47760</v>
      </c>
      <c r="J11" s="6">
        <f t="shared" ref="J11" si="22">J10+J9</f>
        <v>35820</v>
      </c>
      <c r="K11" s="6">
        <f t="shared" ref="K11" si="23">K10+K9</f>
        <v>25472</v>
      </c>
      <c r="L11" s="6">
        <f t="shared" ref="L11" si="24">L10+L9</f>
        <v>27860</v>
      </c>
      <c r="M11" s="6">
        <f t="shared" ref="M11" si="25">M10+M9</f>
        <v>19900</v>
      </c>
      <c r="N11" s="6">
        <f t="shared" ref="N11" si="26">N10+N9</f>
        <v>95520</v>
      </c>
      <c r="O11" s="6">
        <f t="shared" ref="O11" si="27">O10+O9</f>
        <v>23880</v>
      </c>
      <c r="P11" s="6">
        <f t="shared" ref="P11" si="28">P10+P9</f>
        <v>19900</v>
      </c>
      <c r="Q11" s="6">
        <f t="shared" ref="Q11" si="29">Q10+Q9</f>
        <v>26268</v>
      </c>
      <c r="R11" s="6">
        <f t="shared" ref="R11" si="30">R10+R9</f>
        <v>9552</v>
      </c>
      <c r="S11" s="7">
        <v>12000</v>
      </c>
      <c r="T11" s="7">
        <v>14000</v>
      </c>
      <c r="U11" s="7">
        <v>55000</v>
      </c>
    </row>
    <row r="12" spans="1:21">
      <c r="A12" s="4" t="s">
        <v>2</v>
      </c>
      <c r="B12" s="4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T12" s="7"/>
      <c r="U12" s="7"/>
    </row>
    <row r="13" spans="1:21">
      <c r="A13" s="4"/>
      <c r="B13" s="5" t="s">
        <v>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T13" s="7"/>
      <c r="U13" s="7"/>
    </row>
    <row r="14" spans="1:21">
      <c r="A14" s="4"/>
      <c r="B14" s="12" t="s">
        <v>14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T14" s="7"/>
      <c r="U14" s="7"/>
    </row>
    <row r="15" spans="1:21">
      <c r="A15" t="s">
        <v>5</v>
      </c>
      <c r="B15" t="s">
        <v>7</v>
      </c>
      <c r="S15" s="7">
        <v>12000</v>
      </c>
      <c r="T15" s="7">
        <v>18000</v>
      </c>
      <c r="U15" s="7">
        <v>30000</v>
      </c>
    </row>
    <row r="16" spans="1:21">
      <c r="B16" s="1" t="s">
        <v>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T16" s="7"/>
      <c r="U16" s="7"/>
    </row>
    <row r="17" spans="1:21">
      <c r="B17" s="12" t="s">
        <v>14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T17" s="7"/>
      <c r="U17" s="7"/>
    </row>
    <row r="18" spans="1:21">
      <c r="A18" t="s">
        <v>6</v>
      </c>
      <c r="B18" t="s">
        <v>7</v>
      </c>
      <c r="S18" s="7">
        <v>46000</v>
      </c>
      <c r="T18" s="7">
        <v>18000</v>
      </c>
      <c r="U18" s="7">
        <v>35000</v>
      </c>
    </row>
    <row r="19" spans="1:21">
      <c r="A19" s="1"/>
      <c r="B19" s="1" t="s">
        <v>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T19" s="7"/>
      <c r="U19" s="7"/>
    </row>
    <row r="20" spans="1:21">
      <c r="A20" t="s">
        <v>4</v>
      </c>
      <c r="B20" t="s">
        <v>7</v>
      </c>
      <c r="C20">
        <v>10500</v>
      </c>
      <c r="D20">
        <v>6300</v>
      </c>
      <c r="E20">
        <v>4600</v>
      </c>
      <c r="F20">
        <v>7100</v>
      </c>
      <c r="G20">
        <v>23000</v>
      </c>
      <c r="H20">
        <v>5200</v>
      </c>
      <c r="I20">
        <v>5200</v>
      </c>
      <c r="J20">
        <v>12500</v>
      </c>
      <c r="K20">
        <v>15000</v>
      </c>
      <c r="L20">
        <v>15000</v>
      </c>
      <c r="M20">
        <v>26000</v>
      </c>
      <c r="N20">
        <v>5200</v>
      </c>
      <c r="O20">
        <v>6250</v>
      </c>
      <c r="P20">
        <v>21000</v>
      </c>
      <c r="Q20">
        <v>8400</v>
      </c>
      <c r="R20" s="8">
        <v>8400</v>
      </c>
      <c r="T20" s="7"/>
      <c r="U20" s="7"/>
    </row>
    <row r="21" spans="1:21">
      <c r="B21" s="1" t="s">
        <v>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T21" s="7"/>
      <c r="U2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年度数据</vt:lpstr>
      <vt:lpstr>月度数据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T205353</dc:creator>
  <cp:lastModifiedBy>T205353</cp:lastModifiedBy>
  <dcterms:created xsi:type="dcterms:W3CDTF">2026-05-25T11:35:55Z</dcterms:created>
  <dcterms:modified xsi:type="dcterms:W3CDTF">2026-09-04T08:32:14Z</dcterms:modified>
</cp:coreProperties>
</file>